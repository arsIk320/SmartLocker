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GitHub\SmartLocker\"/>
    </mc:Choice>
  </mc:AlternateContent>
  <xr:revisionPtr revIDLastSave="0" documentId="13_ncr:1_{4895213F-1CCA-4F08-A77F-BC5A89E05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годня" sheetId="1" r:id="rId1"/>
    <sheet name="Примечания" sheetId="2" r:id="rId2"/>
  </sheets>
  <calcPr calcId="181029"/>
</workbook>
</file>

<file path=xl/calcChain.xml><?xml version="1.0" encoding="utf-8"?>
<calcChain xmlns="http://schemas.openxmlformats.org/spreadsheetml/2006/main">
  <c r="H41" i="1" l="1"/>
  <c r="G41" i="1"/>
  <c r="F41" i="1"/>
  <c r="G32" i="1"/>
  <c r="H32" i="1" s="1"/>
  <c r="F32" i="1"/>
  <c r="H23" i="1"/>
  <c r="G23" i="1"/>
  <c r="F23" i="1"/>
  <c r="G14" i="1"/>
  <c r="F14" i="1"/>
  <c r="D7" i="1"/>
  <c r="E7" i="1" s="1"/>
  <c r="F7" i="1" s="1"/>
  <c r="C7" i="1"/>
  <c r="D6" i="1"/>
  <c r="E6" i="1" s="1"/>
  <c r="F6" i="1" s="1"/>
  <c r="C6" i="1"/>
  <c r="D5" i="1"/>
  <c r="E5" i="1" s="1"/>
  <c r="F5" i="1" s="1"/>
  <c r="C5" i="1"/>
  <c r="D4" i="1"/>
  <c r="C4" i="1"/>
  <c r="H14" i="1" l="1"/>
  <c r="E4" i="1"/>
  <c r="F4" i="1" s="1"/>
  <c r="B9" i="1" s="1"/>
  <c r="D9" i="1" s="1"/>
</calcChain>
</file>

<file path=xl/sharedStrings.xml><?xml version="1.0" encoding="utf-8"?>
<sst xmlns="http://schemas.openxmlformats.org/spreadsheetml/2006/main" count="87" uniqueCount="44">
  <si>
    <t>План на сегодня</t>
  </si>
  <si>
    <t>Блок</t>
  </si>
  <si>
    <t>Вес</t>
  </si>
  <si>
    <t>Выполнено</t>
  </si>
  <si>
    <t>Всего</t>
  </si>
  <si>
    <t>Прогресс %</t>
  </si>
  <si>
    <t>Вклад в общий прогресс</t>
  </si>
  <si>
    <t>Интерфейс сайта</t>
  </si>
  <si>
    <t>Защита данных</t>
  </si>
  <si>
    <t>Карта лица по фото</t>
  </si>
  <si>
    <t>Интеграция с замком</t>
  </si>
  <si>
    <t>Общий прогресс за день</t>
  </si>
  <si>
    <t>Прогресс-бар</t>
  </si>
  <si>
    <t>Интерфейс сайта (вес 30%)</t>
  </si>
  <si>
    <t>Подзадача</t>
  </si>
  <si>
    <t>Готово</t>
  </si>
  <si>
    <t>Комментарий</t>
  </si>
  <si>
    <t>Структура страниц и навигация</t>
  </si>
  <si>
    <t>Нет</t>
  </si>
  <si>
    <t>Дашборд для владельца</t>
  </si>
  <si>
    <t>Экраны объектов/дверей/устройств</t>
  </si>
  <si>
    <t>Экраны броней и доступов</t>
  </si>
  <si>
    <t>Экраны PMS и настроек</t>
  </si>
  <si>
    <t>Защита данных (вес 30%)</t>
  </si>
  <si>
    <t>Модель ролей и доступов</t>
  </si>
  <si>
    <t>Хранение секретов и ключей</t>
  </si>
  <si>
    <t>Аудит действий и логи</t>
  </si>
  <si>
    <t>Политика хранения/удаления данных</t>
  </si>
  <si>
    <t>Согласия и биометрия по правилам РФ</t>
  </si>
  <si>
    <t>Карта лица по фото (вес 20%)</t>
  </si>
  <si>
    <t>Прием и валидация фото</t>
  </si>
  <si>
    <t>Нормализация и выделение лица</t>
  </si>
  <si>
    <t>Генерация face template</t>
  </si>
  <si>
    <t>Хранение биометрического профиля</t>
  </si>
  <si>
    <t>Заготовка под liveness/checks</t>
  </si>
  <si>
    <t>Интеграция с замком (вес 20%)</t>
  </si>
  <si>
    <t>API контракт устройства</t>
  </si>
  <si>
    <t>Heartbeat и статус устройства</t>
  </si>
  <si>
    <t>Access check / unlock command</t>
  </si>
  <si>
    <t>Прием событий от замка</t>
  </si>
  <si>
    <t>Схема ESP8266 + Nano + ESP32-CAM</t>
  </si>
  <si>
    <t>Раздел</t>
  </si>
  <si>
    <t>Заметки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</si>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</sst>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8FB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2" borderId="0" xfId="0" applyFont="1" applyFill="1"/>
    <xf numFmtId="0" fontId="3" fillId="4" borderId="1" xfId="0" applyFont="1" applyFill="1" applyBorder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3" topLeftCell="A28" activePane="bottomLeft" state="frozen"/>
      <selection pane="bottomLeft" activeCell="B19" sqref="B19"/>
    </sheetView>
  </sheetViews>
  <sheetFormatPr defaultRowHeight="14.4" x14ac:dyDescent="0.3"/>
  <cols>
    <col min="1" max="1" width="46" customWidth="1"/>
    <col min="2" max="2" width="12" customWidth="1"/>
    <col min="3" max="3" width="28" customWidth="1"/>
    <col min="4" max="4" width="4" customWidth="1"/>
    <col min="5" max="6" width="12" customWidth="1"/>
    <col min="7" max="7" width="10" customWidth="1"/>
    <col min="8" max="8" width="12" customWidth="1"/>
  </cols>
  <sheetData>
    <row r="1" spans="1:8" ht="21" x14ac:dyDescent="0.4">
      <c r="A1" s="13" t="s">
        <v>0</v>
      </c>
      <c r="B1" s="12"/>
      <c r="C1" s="12"/>
      <c r="D1" s="12"/>
      <c r="E1" s="12"/>
      <c r="F1" s="12"/>
      <c r="G1" s="12"/>
      <c r="H1" s="12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 x14ac:dyDescent="0.3">
      <c r="A4" s="2" t="s">
        <v>7</v>
      </c>
      <c r="B4" s="3">
        <v>30</v>
      </c>
      <c r="C4" s="3">
        <f>COUNTIF(B13:B17,"Да")</f>
        <v>3</v>
      </c>
      <c r="D4" s="3">
        <f>COUNTA(A13:A17)</f>
        <v>5</v>
      </c>
      <c r="E4" s="4">
        <f>IF(D4=0,0,C4/D4)</f>
        <v>0.6</v>
      </c>
      <c r="F4" s="3">
        <f>B4*E4</f>
        <v>18</v>
      </c>
    </row>
    <row r="5" spans="1:8" x14ac:dyDescent="0.3">
      <c r="A5" s="2" t="s">
        <v>8</v>
      </c>
      <c r="B5" s="3">
        <v>30</v>
      </c>
      <c r="C5" s="3">
        <f>COUNTIF(B22:B26,"Да")</f>
        <v>0</v>
      </c>
      <c r="D5" s="3">
        <f>COUNTA(A22:A26)</f>
        <v>5</v>
      </c>
      <c r="E5" s="4">
        <f>IF(D5=0,0,C5/D5)</f>
        <v>0</v>
      </c>
      <c r="F5" s="3">
        <f>B5*E5</f>
        <v>0</v>
      </c>
    </row>
    <row r="6" spans="1:8" x14ac:dyDescent="0.3">
      <c r="A6" s="2" t="s">
        <v>9</v>
      </c>
      <c r="B6" s="3">
        <v>20</v>
      </c>
      <c r="C6" s="3">
        <f>COUNTIF(B31:B35,"Да")</f>
        <v>0</v>
      </c>
      <c r="D6" s="3">
        <f>COUNTA(A31:A35)</f>
        <v>5</v>
      </c>
      <c r="E6" s="4">
        <f>IF(D6=0,0,C6/D6)</f>
        <v>0</v>
      </c>
      <c r="F6" s="3">
        <f>B6*E6</f>
        <v>0</v>
      </c>
    </row>
    <row r="7" spans="1:8" x14ac:dyDescent="0.3">
      <c r="A7" s="2" t="s">
        <v>10</v>
      </c>
      <c r="B7" s="3">
        <v>20</v>
      </c>
      <c r="C7" s="3">
        <f>COUNTIF(B40:B44,"Да")</f>
        <v>0</v>
      </c>
      <c r="D7" s="3">
        <f>COUNTA(A40:A44)</f>
        <v>5</v>
      </c>
      <c r="E7" s="4">
        <f>IF(D7=0,0,C7/D7)</f>
        <v>0</v>
      </c>
      <c r="F7" s="3">
        <f>B7*E7</f>
        <v>0</v>
      </c>
    </row>
    <row r="9" spans="1:8" x14ac:dyDescent="0.3">
      <c r="A9" s="5" t="s">
        <v>11</v>
      </c>
      <c r="B9" s="6">
        <f>SUM(F4:F7)/100</f>
        <v>0.18</v>
      </c>
      <c r="C9" s="7" t="s">
        <v>12</v>
      </c>
      <c r="D9" s="6">
        <f>B9</f>
        <v>0.18</v>
      </c>
    </row>
    <row r="12" spans="1:8" x14ac:dyDescent="0.3">
      <c r="A12" s="11" t="s">
        <v>13</v>
      </c>
      <c r="B12" s="12"/>
      <c r="C12" s="12"/>
      <c r="D12" s="12"/>
      <c r="E12" s="12"/>
      <c r="F12" s="12"/>
      <c r="G12" s="12"/>
      <c r="H12" s="12"/>
    </row>
    <row r="13" spans="1:8" x14ac:dyDescent="0.3">
      <c r="A13" s="1" t="s">
        <v>14</v>
      </c>
      <c r="B13" s="1" t="s">
        <v>15</v>
      </c>
      <c r="C13" s="1" t="s">
        <v>16</v>
      </c>
      <c r="D13" s="1"/>
      <c r="E13" s="1"/>
      <c r="F13" s="1" t="s">
        <v>3</v>
      </c>
      <c r="G13" s="1" t="s">
        <v>4</v>
      </c>
      <c r="H13" s="1" t="s">
        <v>5</v>
      </c>
    </row>
    <row r="14" spans="1:8" x14ac:dyDescent="0.3">
      <c r="A14" s="8" t="s">
        <v>17</v>
      </c>
      <c r="B14" s="9" t="s">
        <v>43</v>
      </c>
      <c r="C14" s="8"/>
      <c r="F14" s="7">
        <f>COUNTIF(B14:B18,"Да")</f>
        <v>4</v>
      </c>
      <c r="G14" s="7">
        <f>COUNTA(A14:A18)</f>
        <v>5</v>
      </c>
      <c r="H14" s="6">
        <f>IF(G14=0,0,F14/G14)</f>
        <v>0.8</v>
      </c>
    </row>
    <row r="15" spans="1:8" x14ac:dyDescent="0.3">
      <c r="A15" s="8" t="s">
        <v>19</v>
      </c>
      <c r="B15" s="9" t="s">
        <v>43</v>
      </c>
      <c r="C15" s="8"/>
    </row>
    <row r="16" spans="1:8" x14ac:dyDescent="0.3">
      <c r="A16" s="8" t="s">
        <v>20</v>
      </c>
      <c r="B16" s="9" t="s">
        <v>18</v>
      </c>
      <c r="C16" s="8"/>
    </row>
    <row r="17" spans="1:8" x14ac:dyDescent="0.3">
      <c r="A17" s="8" t="s">
        <v>21</v>
      </c>
      <c r="B17" s="9" t="s">
        <v>43</v>
      </c>
      <c r="C17" s="8"/>
    </row>
    <row r="18" spans="1:8" x14ac:dyDescent="0.3">
      <c r="A18" s="8" t="s">
        <v>22</v>
      </c>
      <c r="B18" s="9" t="s">
        <v>43</v>
      </c>
      <c r="C18" s="8"/>
    </row>
    <row r="21" spans="1:8" x14ac:dyDescent="0.3">
      <c r="A21" s="11" t="s">
        <v>23</v>
      </c>
      <c r="B21" s="12"/>
      <c r="C21" s="12"/>
      <c r="D21" s="12"/>
      <c r="E21" s="12"/>
      <c r="F21" s="12"/>
      <c r="G21" s="12"/>
      <c r="H21" s="12"/>
    </row>
    <row r="22" spans="1:8" x14ac:dyDescent="0.3">
      <c r="A22" s="1" t="s">
        <v>14</v>
      </c>
      <c r="B22" s="1" t="s">
        <v>15</v>
      </c>
      <c r="C22" s="1" t="s">
        <v>16</v>
      </c>
      <c r="D22" s="1"/>
      <c r="E22" s="1"/>
      <c r="F22" s="1" t="s">
        <v>3</v>
      </c>
      <c r="G22" s="1" t="s">
        <v>4</v>
      </c>
      <c r="H22" s="1" t="s">
        <v>5</v>
      </c>
    </row>
    <row r="23" spans="1:8" x14ac:dyDescent="0.3">
      <c r="A23" s="8" t="s">
        <v>24</v>
      </c>
      <c r="B23" s="9" t="s">
        <v>18</v>
      </c>
      <c r="C23" s="8"/>
      <c r="F23" s="7">
        <f>COUNTIF(B23:B27,"Да")</f>
        <v>0</v>
      </c>
      <c r="G23" s="7">
        <f>COUNTA(A23:A27)</f>
        <v>5</v>
      </c>
      <c r="H23" s="6">
        <f>IF(G23=0,0,F23/G23)</f>
        <v>0</v>
      </c>
    </row>
    <row r="24" spans="1:8" x14ac:dyDescent="0.3">
      <c r="A24" s="8" t="s">
        <v>25</v>
      </c>
      <c r="B24" s="9" t="s">
        <v>18</v>
      </c>
      <c r="C24" s="8"/>
    </row>
    <row r="25" spans="1:8" x14ac:dyDescent="0.3">
      <c r="A25" s="8" t="s">
        <v>26</v>
      </c>
      <c r="B25" s="9" t="s">
        <v>18</v>
      </c>
      <c r="C25" s="8"/>
    </row>
    <row r="26" spans="1:8" x14ac:dyDescent="0.3">
      <c r="A26" s="8" t="s">
        <v>27</v>
      </c>
      <c r="B26" s="9" t="s">
        <v>18</v>
      </c>
      <c r="C26" s="8"/>
    </row>
    <row r="27" spans="1:8" x14ac:dyDescent="0.3">
      <c r="A27" s="8" t="s">
        <v>28</v>
      </c>
      <c r="B27" s="9" t="s">
        <v>18</v>
      </c>
      <c r="C27" s="8"/>
    </row>
    <row r="30" spans="1:8" x14ac:dyDescent="0.3">
      <c r="A30" s="11" t="s">
        <v>29</v>
      </c>
      <c r="B30" s="12"/>
      <c r="C30" s="12"/>
      <c r="D30" s="12"/>
      <c r="E30" s="12"/>
      <c r="F30" s="12"/>
      <c r="G30" s="12"/>
      <c r="H30" s="12"/>
    </row>
    <row r="31" spans="1:8" x14ac:dyDescent="0.3">
      <c r="A31" s="1" t="s">
        <v>14</v>
      </c>
      <c r="B31" s="1" t="s">
        <v>15</v>
      </c>
      <c r="C31" s="1" t="s">
        <v>16</v>
      </c>
      <c r="D31" s="1"/>
      <c r="E31" s="1"/>
      <c r="F31" s="1" t="s">
        <v>3</v>
      </c>
      <c r="G31" s="1" t="s">
        <v>4</v>
      </c>
      <c r="H31" s="1" t="s">
        <v>5</v>
      </c>
    </row>
    <row r="32" spans="1:8" x14ac:dyDescent="0.3">
      <c r="A32" s="8" t="s">
        <v>30</v>
      </c>
      <c r="B32" s="9" t="s">
        <v>18</v>
      </c>
      <c r="C32" s="8"/>
      <c r="F32" s="7">
        <f>COUNTIF(B32:B36,"Да")</f>
        <v>0</v>
      </c>
      <c r="G32" s="7">
        <f>COUNTA(A32:A36)</f>
        <v>5</v>
      </c>
      <c r="H32" s="6">
        <f>IF(G32=0,0,F32/G32)</f>
        <v>0</v>
      </c>
    </row>
    <row r="33" spans="1:8" x14ac:dyDescent="0.3">
      <c r="A33" s="8" t="s">
        <v>31</v>
      </c>
      <c r="B33" s="9" t="s">
        <v>18</v>
      </c>
      <c r="C33" s="8"/>
    </row>
    <row r="34" spans="1:8" x14ac:dyDescent="0.3">
      <c r="A34" s="8" t="s">
        <v>32</v>
      </c>
      <c r="B34" s="9" t="s">
        <v>18</v>
      </c>
      <c r="C34" s="8"/>
    </row>
    <row r="35" spans="1:8" x14ac:dyDescent="0.3">
      <c r="A35" s="8" t="s">
        <v>33</v>
      </c>
      <c r="B35" s="9" t="s">
        <v>18</v>
      </c>
      <c r="C35" s="8"/>
    </row>
    <row r="36" spans="1:8" x14ac:dyDescent="0.3">
      <c r="A36" s="8" t="s">
        <v>34</v>
      </c>
      <c r="B36" s="9" t="s">
        <v>18</v>
      </c>
      <c r="C36" s="8"/>
    </row>
    <row r="39" spans="1:8" x14ac:dyDescent="0.3">
      <c r="A39" s="11" t="s">
        <v>35</v>
      </c>
      <c r="B39" s="12"/>
      <c r="C39" s="12"/>
      <c r="D39" s="12"/>
      <c r="E39" s="12"/>
      <c r="F39" s="12"/>
      <c r="G39" s="12"/>
      <c r="H39" s="12"/>
    </row>
    <row r="40" spans="1:8" x14ac:dyDescent="0.3">
      <c r="A40" s="1" t="s">
        <v>14</v>
      </c>
      <c r="B40" s="1" t="s">
        <v>15</v>
      </c>
      <c r="C40" s="1" t="s">
        <v>16</v>
      </c>
      <c r="D40" s="1"/>
      <c r="E40" s="1"/>
      <c r="F40" s="1" t="s">
        <v>3</v>
      </c>
      <c r="G40" s="1" t="s">
        <v>4</v>
      </c>
      <c r="H40" s="1" t="s">
        <v>5</v>
      </c>
    </row>
    <row r="41" spans="1:8" x14ac:dyDescent="0.3">
      <c r="A41" s="8" t="s">
        <v>36</v>
      </c>
      <c r="B41" s="9" t="s">
        <v>18</v>
      </c>
      <c r="C41" s="8"/>
      <c r="F41" s="7">
        <f>COUNTIF(B41:B45,"Да")</f>
        <v>0</v>
      </c>
      <c r="G41" s="7">
        <f>COUNTA(A41:A45)</f>
        <v>5</v>
      </c>
      <c r="H41" s="6">
        <f>IF(G41=0,0,F41/G41)</f>
        <v>0</v>
      </c>
    </row>
    <row r="42" spans="1:8" x14ac:dyDescent="0.3">
      <c r="A42" s="8" t="s">
        <v>37</v>
      </c>
      <c r="B42" s="9" t="s">
        <v>18</v>
      </c>
      <c r="C42" s="8"/>
    </row>
    <row r="43" spans="1:8" x14ac:dyDescent="0.3">
      <c r="A43" s="8" t="s">
        <v>38</v>
      </c>
      <c r="B43" s="9" t="s">
        <v>18</v>
      </c>
      <c r="C43" s="8"/>
    </row>
    <row r="44" spans="1:8" x14ac:dyDescent="0.3">
      <c r="A44" s="8" t="s">
        <v>39</v>
      </c>
      <c r="B44" s="9" t="s">
        <v>18</v>
      </c>
      <c r="C44" s="8"/>
    </row>
    <row r="45" spans="1:8" x14ac:dyDescent="0.3">
      <c r="A45" s="8" t="s">
        <v>40</v>
      </c>
      <c r="B45" s="9" t="s">
        <v>18</v>
      </c>
      <c r="C45" s="8"/>
    </row>
  </sheetData>
  <mergeCells count="5">
    <mergeCell ref="A12:H12"/>
    <mergeCell ref="A21:H21"/>
    <mergeCell ref="A30:H30"/>
    <mergeCell ref="A39:H39"/>
    <mergeCell ref="A1:H1"/>
  </mergeCells>
  <conditionalFormatting sqref="D9">
    <cfRule type="dataBar" priority="1">
      <dataBar>
        <cfvo type="num" val="0"/>
        <cfvo type="num" val="1"/>
        <color rgb="FF34A853"/>
      </dataBar>
    </cfRule>
  </conditionalFormatting>
  <conditionalFormatting sqref="E4:E7">
    <cfRule type="dataBar" priority="2">
      <dataBar>
        <cfvo type="num" val="0"/>
        <cfvo type="num" val="1"/>
        <color rgb="FF4F81BD"/>
      </dataBar>
    </cfRule>
  </conditionalFormatting>
  <conditionalFormatting sqref="H14">
    <cfRule type="dataBar" priority="3">
      <dataBar>
        <cfvo type="num" val="0"/>
        <cfvo type="num" val="1"/>
        <color rgb="FF4F81BD"/>
      </dataBar>
    </cfRule>
  </conditionalFormatting>
  <conditionalFormatting sqref="H23">
    <cfRule type="dataBar" priority="4">
      <dataBar>
        <cfvo type="num" val="0"/>
        <cfvo type="num" val="1"/>
        <color rgb="FF4F81BD"/>
      </dataBar>
    </cfRule>
  </conditionalFormatting>
  <conditionalFormatting sqref="H32">
    <cfRule type="dataBar" priority="5">
      <dataBar>
        <cfvo type="num" val="0"/>
        <cfvo type="num" val="1"/>
        <color rgb="FF4F81BD"/>
      </dataBar>
    </cfRule>
  </conditionalFormatting>
  <conditionalFormatting sqref="H41">
    <cfRule type="dataBar" priority="6">
      <dataBar>
        <cfvo type="num" val="0"/>
        <cfvo type="num" val="1"/>
        <color rgb="FF4F81BD"/>
      </dataBar>
    </cfRule>
  </conditionalFormatting>
  <dataValidations count="1">
    <dataValidation type="list" sqref="B13:B17 B22:B26 B31:B35 B40:B44" xr:uid="{00000000-0002-0000-0000-000000000000}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cols>
    <col min="1" max="1" width="30" customWidth="1"/>
    <col min="2" max="2" width="90" customWidth="1"/>
  </cols>
  <sheetData>
    <row r="1" spans="1:2" x14ac:dyDescent="0.3">
      <c r="A1" s="10" t="s">
        <v>41</v>
      </c>
      <c r="B1" s="10" t="s">
        <v>42</v>
      </c>
    </row>
    <row r="2" spans="1:2" x14ac:dyDescent="0.3">
      <c r="A2" t="s">
        <v>7</v>
      </c>
    </row>
    <row r="3" spans="1:2" x14ac:dyDescent="0.3">
      <c r="A3" t="s">
        <v>8</v>
      </c>
    </row>
    <row r="4" spans="1:2" x14ac:dyDescent="0.3">
      <c r="A4" t="s">
        <v>9</v>
      </c>
    </row>
    <row r="5" spans="1:2" x14ac:dyDescent="0.3">
      <c r="A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Сегодня</vt:lpstr>
      <vt:lpstr>Примечания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Тимохин Арсений</cp:lastModifiedBy>
  <dcterms:created xsi:type="dcterms:W3CDTF">2026-03-28T18:35:15Z</dcterms:created>
  <dcterms:modified xsi:type="dcterms:W3CDTF">2026-03-28T21:13:02Z</dcterms:modified>
</cp:coreProperties>
</file>